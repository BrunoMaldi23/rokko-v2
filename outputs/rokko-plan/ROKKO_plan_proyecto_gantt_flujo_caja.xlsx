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royectos\rokko-cotizador\outputs\rokko-plan\"/>
    </mc:Choice>
  </mc:AlternateContent>
  <xr:revisionPtr revIDLastSave="0" documentId="13_ncr:1_{536E5BC9-0C06-43CF-A3F3-B7B39A3156F1}" xr6:coauthVersionLast="47" xr6:coauthVersionMax="47" xr10:uidLastSave="{00000000-0000-0000-0000-000000000000}"/>
  <bookViews>
    <workbookView xWindow="-120" yWindow="-120" windowWidth="19440" windowHeight="10320" firstSheet="2" activeTab="6" xr2:uid="{00000000-000D-0000-FFFF-FFFF00000000}"/>
  </bookViews>
  <sheets>
    <sheet name="Resumen" sheetId="1" r:id="rId1"/>
    <sheet name="Supuestos" sheetId="2" r:id="rId2"/>
    <sheet name="Modelo Canvas" sheetId="3" r:id="rId3"/>
    <sheet name="PDCA" sheetId="4" r:id="rId4"/>
    <sheet name="Carta Gantt" sheetId="5" r:id="rId5"/>
    <sheet name="Horas Programador" sheetId="6" r:id="rId6"/>
    <sheet name="Costos Proyecto" sheetId="7" r:id="rId7"/>
    <sheet name="Flujo Caja" sheetId="8" r:id="rId8"/>
    <sheet name="Alcance y Entregabl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8" l="1"/>
  <c r="C12" i="8"/>
  <c r="B12" i="8"/>
  <c r="E10" i="8"/>
  <c r="D10" i="8"/>
  <c r="E9" i="8"/>
  <c r="D9" i="8"/>
  <c r="E8" i="8"/>
  <c r="D8" i="8"/>
  <c r="E7" i="8"/>
  <c r="D7" i="8"/>
  <c r="E6" i="8"/>
  <c r="D6" i="8"/>
  <c r="E5" i="8"/>
  <c r="D5" i="8"/>
  <c r="F21" i="7"/>
  <c r="F20" i="7"/>
  <c r="F16" i="7"/>
  <c r="F15" i="7"/>
  <c r="F14" i="7"/>
  <c r="F13" i="7"/>
  <c r="F12" i="7"/>
  <c r="F11" i="7"/>
  <c r="F10" i="7"/>
  <c r="F9" i="7"/>
  <c r="E8" i="7"/>
  <c r="E7" i="7"/>
  <c r="E6" i="7"/>
  <c r="E5" i="7"/>
  <c r="E18" i="6"/>
  <c r="B18" i="6"/>
  <c r="E17" i="6"/>
  <c r="C17" i="6"/>
  <c r="E16" i="6"/>
  <c r="C16" i="6"/>
  <c r="E15" i="6"/>
  <c r="C15" i="6"/>
  <c r="E14" i="6"/>
  <c r="C14" i="6"/>
  <c r="E13" i="6"/>
  <c r="C13" i="6"/>
  <c r="E12" i="6"/>
  <c r="C12" i="6"/>
  <c r="E11" i="6"/>
  <c r="D11" i="6"/>
  <c r="C11" i="6"/>
  <c r="E10" i="6"/>
  <c r="C10" i="6"/>
  <c r="E9" i="6"/>
  <c r="C9" i="6"/>
  <c r="E8" i="6"/>
  <c r="C8" i="6"/>
  <c r="E7" i="6"/>
  <c r="C7" i="6"/>
  <c r="E6" i="6"/>
  <c r="C6" i="6"/>
  <c r="E5" i="6"/>
  <c r="C5" i="6"/>
  <c r="J10" i="8" l="1"/>
  <c r="F10" i="8"/>
  <c r="J9" i="8"/>
  <c r="F9" i="8"/>
  <c r="J8" i="8"/>
  <c r="J7" i="8"/>
  <c r="J6" i="8"/>
  <c r="F6" i="8"/>
  <c r="J5" i="8"/>
  <c r="J12" i="8" s="1"/>
  <c r="F5" i="8"/>
  <c r="F8" i="8"/>
  <c r="D17" i="6"/>
  <c r="D16" i="6"/>
  <c r="D15" i="6"/>
  <c r="F7" i="8"/>
  <c r="F8" i="7"/>
  <c r="F7" i="7"/>
  <c r="F6" i="7"/>
  <c r="F5" i="7"/>
  <c r="F19" i="7" s="1"/>
  <c r="B8" i="1" s="1"/>
  <c r="D14" i="6"/>
  <c r="D13" i="6"/>
  <c r="D12" i="6"/>
  <c r="D10" i="6"/>
  <c r="D9" i="6"/>
  <c r="D8" i="6"/>
  <c r="D6" i="6"/>
  <c r="D5" i="6"/>
  <c r="B10" i="1"/>
  <c r="B9" i="1"/>
  <c r="D12" i="8"/>
  <c r="D7" i="6"/>
  <c r="G10" i="8" l="1"/>
  <c r="H10" i="8"/>
  <c r="I10" i="8"/>
  <c r="G9" i="8"/>
  <c r="H9" i="8"/>
  <c r="I9" i="8"/>
  <c r="G6" i="8"/>
  <c r="H6" i="8"/>
  <c r="I6" i="8"/>
  <c r="G5" i="8"/>
  <c r="H5" i="8"/>
  <c r="I5" i="8"/>
  <c r="F12" i="8"/>
  <c r="G8" i="8"/>
  <c r="H8" i="8"/>
  <c r="I8" i="8"/>
  <c r="G7" i="8"/>
  <c r="H7" i="8"/>
  <c r="I7" i="8"/>
  <c r="D18" i="6"/>
  <c r="K5" i="8" l="1"/>
  <c r="G12" i="8"/>
  <c r="K10" i="8"/>
  <c r="N10" i="8" s="1"/>
  <c r="K9" i="8"/>
  <c r="N9" i="8" s="1"/>
  <c r="K6" i="8"/>
  <c r="N6" i="8" s="1"/>
  <c r="I12" i="8"/>
  <c r="K7" i="8"/>
  <c r="N7" i="8" s="1"/>
  <c r="H12" i="8"/>
  <c r="K8" i="8"/>
  <c r="N8" i="8" s="1"/>
  <c r="N5" i="8" l="1"/>
  <c r="K12" i="8"/>
</calcChain>
</file>

<file path=xl/sharedStrings.xml><?xml version="1.0" encoding="utf-8"?>
<sst xmlns="http://schemas.openxmlformats.org/spreadsheetml/2006/main" count="332" uniqueCount="224">
  <si>
    <t>ROKKO Cotizador - Plan integral del proyecto</t>
  </si>
  <si>
    <t>Recopilacion desde cero: desarrollo, BD, Supabase, modelos 3D, Gantt, costos y flujo de caja. Sin Docker ni maquina virtual.</t>
  </si>
  <si>
    <t>Estado actual</t>
  </si>
  <si>
    <t>Proyecto funcional al 94-95%, con lint/build OK y visualizador 3D prenda-only.</t>
  </si>
  <si>
    <t>Stack</t>
  </si>
  <si>
    <t>Next.js 16, React 19, Tailwind v4, Supabase, Three/R3F, Fabric, Resend.</t>
  </si>
  <si>
    <t>Equipo</t>
  </si>
  <si>
    <t>Un programador full-stack.</t>
  </si>
  <si>
    <t>Duracion estimada</t>
  </si>
  <si>
    <t>12 semanas / 410 horas estimadas.</t>
  </si>
  <si>
    <t>Costo desarrollo estimado</t>
  </si>
  <si>
    <t>Costos unicos adicionales</t>
  </si>
  <si>
    <t>Costo operativo mensual base</t>
  </si>
  <si>
    <t>Proximo foco</t>
  </si>
  <si>
    <t>Optimizar selector de colores y carga 3D; QA end-to-end final.</t>
  </si>
  <si>
    <t>Exclusiones</t>
  </si>
  <si>
    <t>No incluye Docker, maquina virtual ni proyecto radio.</t>
  </si>
  <si>
    <t>Supuestos editables</t>
  </si>
  <si>
    <t>Ajusta tarifas, conversion, ticket promedio y costos para recalcular el modelo.</t>
  </si>
  <si>
    <t>Supuesto</t>
  </si>
  <si>
    <t>Valor</t>
  </si>
  <si>
    <t>Moneda</t>
  </si>
  <si>
    <t>CLP</t>
  </si>
  <si>
    <t>Programadores</t>
  </si>
  <si>
    <t>Tarifa programador por hora</t>
  </si>
  <si>
    <t>Horas estimadas totales</t>
  </si>
  <si>
    <t>Duracion proyecto</t>
  </si>
  <si>
    <t>12 semanas</t>
  </si>
  <si>
    <t>IVA</t>
  </si>
  <si>
    <t>Anticipo recomendado cliente</t>
  </si>
  <si>
    <t>Saldo contra entrega</t>
  </si>
  <si>
    <t>Margen bruto objetivo</t>
  </si>
  <si>
    <t>Ticket promedio esperado</t>
  </si>
  <si>
    <t>Cotizaciones mensuales objetivo</t>
  </si>
  <si>
    <t>Conversion esperada</t>
  </si>
  <si>
    <t>Pedidos mensuales estimados</t>
  </si>
  <si>
    <t>Modelo Canvas ROKKO</t>
  </si>
  <si>
    <t>Modelo de negocio del cotizador y venta de uniformes corporativos.</t>
  </si>
  <si>
    <t>Bloque</t>
  </si>
  <si>
    <t>Descripcion</t>
  </si>
  <si>
    <t>Propuesta de valor</t>
  </si>
  <si>
    <t>Cotizador profesional para uniformes corporativos con productos, colores, tallas, logo, cotizacion y visualizador 3D de prenda.</t>
  </si>
  <si>
    <t>Clientes</t>
  </si>
  <si>
    <t>Empresas, colegios, instituciones, restaurantes, constructoras, eventos y organizaciones que compran vestuario por volumen.</t>
  </si>
  <si>
    <t>Canales</t>
  </si>
  <si>
    <t>Sitio web, cotizador online, email, WhatsApp, ventas directas y panel admin.</t>
  </si>
  <si>
    <t>Relacion con clientes</t>
  </si>
  <si>
    <t>Autoservicio inicial, seguimiento humano, respuesta comercial, ajustes y cierre asistido.</t>
  </si>
  <si>
    <t>Ingresos</t>
  </si>
  <si>
    <t>Venta de prendas, personalizacion, pedidos mayoristas, reposiciones y contratos recurrentes.</t>
  </si>
  <si>
    <t>Recursos clave</t>
  </si>
  <si>
    <t>Catalogo, imagenes, modelos 3D, Supabase, Vercel, Resend, marca ROKKO, proveedor textil y programador.</t>
  </si>
  <si>
    <t>Actividades clave</t>
  </si>
  <si>
    <t>Mantener catalogo, responder cotizaciones, producir/personalizar, cobrar, entregar y optimizar conversion.</t>
  </si>
  <si>
    <t>Socios clave</t>
  </si>
  <si>
    <t>Proveedores textiles, talleres de bordado/estampado, courier, Supabase, Vercel, Resend.</t>
  </si>
  <si>
    <t>Costos</t>
  </si>
  <si>
    <t>Programacion, hosting, BD, email, dominio, imagenes, modelos 3D, mantencion, produccion y despacho.</t>
  </si>
  <si>
    <t>Ciclo PDCA del proyecto</t>
  </si>
  <si>
    <t>Planificar, hacer, verificar y actuar para cierre y mejora continua.</t>
  </si>
  <si>
    <t>Fase</t>
  </si>
  <si>
    <t>Accion</t>
  </si>
  <si>
    <t>Resultado esperado</t>
  </si>
  <si>
    <t>Planificar</t>
  </si>
  <si>
    <t>Definir producto comercial, BD, flujo de cotizacion, admin, visualizador 3D y reglas de negocio.</t>
  </si>
  <si>
    <t>Alcance claro, backlog, supuestos de costos, estructura de datos.</t>
  </si>
  <si>
    <t>Hacer</t>
  </si>
  <si>
    <t>Construir Next.js, Supabase, admin, cotizador, emails, modelos GLB, visualizador prenda-only y limpieza tecnica.</t>
  </si>
  <si>
    <t>Sistema funcional con build/lint OK.</t>
  </si>
  <si>
    <t>Verificar</t>
  </si>
  <si>
    <t>Probar rutas, build, lint, flujo publico, cotizaciones, admin y visualizador.</t>
  </si>
  <si>
    <t>Errores detectados, performance pendiente y QA final.</t>
  </si>
  <si>
    <t>Actuar</t>
  </si>
  <si>
    <t>Optimizar selector de colores, carga 3D, textos, seguridad, datos reales y lanzamiento.</t>
  </si>
  <si>
    <t>Version lista para produccion y mejora continua.</t>
  </si>
  <si>
    <t>Carta Gantt - Proyecto desde cero</t>
  </si>
  <si>
    <t>Plan estimado de 12 semanas ejecutado por un programador.</t>
  </si>
  <si>
    <t>Actividad</t>
  </si>
  <si>
    <t>Area</t>
  </si>
  <si>
    <t>Inicio</t>
  </si>
  <si>
    <t>Fin</t>
  </si>
  <si>
    <t>Horas</t>
  </si>
  <si>
    <t>Estado</t>
  </si>
  <si>
    <t>Notas</t>
  </si>
  <si>
    <t>Avance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</si>
  <si>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</si>
  <si>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</si>
  <si>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</si>
  <si>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</si>
  <si>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</si>
  <si>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</si>
  <si>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</si>
  <si>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</si>
  <si>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</si>
  <si>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</si>
  <si>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</si>
  <si>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</si>
  <si>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Descubrimiento y definicion comercial</t>
  </si>
  <si>
    <t>Planificacion</t>
  </si>
  <si>
    <t>Completado</t>
  </si>
  <si>
    <t>Objetivo, alcance, categorias, flujo comercial, estructura de BD.</t>
  </si>
  <si>
    <t>■</t>
  </si>
  <si>
    <t>Arquitectura Next.js y base UI</t>
  </si>
  <si>
    <t>Frontend</t>
  </si>
  <si>
    <t>App Router, Tailwind v4, layout publico, navegacion y base visual.</t>
  </si>
  <si>
    <t>Modelo de datos Supabase</t>
  </si>
  <si>
    <t>Backend/BD</t>
  </si>
  <si>
    <t>Productos, cotizaciones, settings, modelos 3D, policies y storage.</t>
  </si>
  <si>
    <t>Catalogo publico y categorias</t>
  </si>
  <si>
    <t>Listado de productos, colores, tallas, galeria e imagenes.</t>
  </si>
  <si>
    <t>Cotizador y carrito</t>
  </si>
  <si>
    <t>Producto</t>
  </si>
  <si>
    <t>Seleccion de tallas, cantidades, totales, datos cliente y generacion de cotizacion.</t>
  </si>
  <si>
    <t>Panel admin productos</t>
  </si>
  <si>
    <t>Admin</t>
  </si>
  <si>
    <t>CRUD productos, imagenes, precios, colores, tallas y activacion.</t>
  </si>
  <si>
    <t>Cotizaciones admin y email</t>
  </si>
  <si>
    <t>Admin/API</t>
  </si>
  <si>
    <t>Registro de cotizaciones, seguimiento, respuesta comercial y Resend.</t>
  </si>
  <si>
    <t>Branding, reglas comerciales y usuarios</t>
  </si>
  <si>
    <t>Datos de marca, datos bancarios, descuentos, IVA, validez y usuarios.</t>
  </si>
  <si>
    <t>Visualizador 3D inicial</t>
  </si>
  <si>
    <t>3D/WebGL</t>
  </si>
  <si>
    <t>R3F, Three, Fabric overlay, posiciones y carga de modelos.</t>
  </si>
  <si>
    <t>Limpieza maniqui y prenda-only GLB</t>
  </si>
  <si>
    <t>Eliminacion del maniqui, dead code y enfoque en prenda GLB real.</t>
  </si>
  <si>
    <t>QA tecnico lint/build/local</t>
  </si>
  <si>
    <t>QA</t>
  </si>
  <si>
    <t>Lint limpio, build exitoso, rutas 200 y captura local.</t>
  </si>
  <si>
    <t>Optimizacion selector colores y carga 3D</t>
  </si>
  <si>
    <t>Performance</t>
  </si>
  <si>
    <t>Pendiente</t>
  </si>
  <si>
    <t>Prefetch, cache, menor recomputo de texturas y mejor carga percibida.</t>
  </si>
  <si>
    <t>QA final y preparacion produccion</t>
  </si>
  <si>
    <t>Lanzamiento</t>
  </si>
  <si>
    <t>Prueba end-to-end, variables, seguridad, datos reales y checklist final.</t>
  </si>
  <si>
    <t>Horas de programacion estimadas</t>
  </si>
  <si>
    <t>Trabajo realizado por un solo programador full-stack.</t>
  </si>
  <si>
    <t>Tarifa</t>
  </si>
  <si>
    <t>Costo</t>
  </si>
  <si>
    <t>% del total</t>
  </si>
  <si>
    <t>TOTAL</t>
  </si>
  <si>
    <t>Costos del proyecto y operacion</t>
  </si>
  <si>
    <t>Incluye desarrollo, 3D, QA, assets y operacion mensual. No incluye Docker ni maquina virtual.</t>
  </si>
  <si>
    <t>Item</t>
  </si>
  <si>
    <t>Categoria</t>
  </si>
  <si>
    <t>Unidad</t>
  </si>
  <si>
    <t>Cantidad</t>
  </si>
  <si>
    <t>Costo unitario</t>
  </si>
  <si>
    <t>Total</t>
  </si>
  <si>
    <t>Programacion full-stack</t>
  </si>
  <si>
    <t>Implementacion</t>
  </si>
  <si>
    <t>Diseno UX/UI aplicado</t>
  </si>
  <si>
    <t>Modelos/prendas 3D y calibracion</t>
  </si>
  <si>
    <t>QA, depuracion y limpieza tecnica</t>
  </si>
  <si>
    <t>Dominio anual</t>
  </si>
  <si>
    <t>Operacion</t>
  </si>
  <si>
    <t>Anual</t>
  </si>
  <si>
    <t>Vercel hosting</t>
  </si>
  <si>
    <t>Mensual</t>
  </si>
  <si>
    <t>Supabase</t>
  </si>
  <si>
    <t>Resend/email</t>
  </si>
  <si>
    <t>Produccion fotografica/assets</t>
  </si>
  <si>
    <t>Marketing</t>
  </si>
  <si>
    <t>Unico</t>
  </si>
  <si>
    <t>Modelado 3D adicional futuro</t>
  </si>
  <si>
    <t>Marketing/3D</t>
  </si>
  <si>
    <t>Por modelo</t>
  </si>
  <si>
    <t>Mantencion mensual tecnica</t>
  </si>
  <si>
    <t>Operacion comercial mensual</t>
  </si>
  <si>
    <t>Resumen</t>
  </si>
  <si>
    <t>Flujo de caja operativo estimado</t>
  </si>
  <si>
    <t>Modelo editable con anticipo, saldo contra entrega, costos variables y costos fijos.</t>
  </si>
  <si>
    <t>Mes</t>
  </si>
  <si>
    <t>Cotizaciones</t>
  </si>
  <si>
    <t>Conversion</t>
  </si>
  <si>
    <t>Pedidos</t>
  </si>
  <si>
    <t>Ticket prom.</t>
  </si>
  <si>
    <t>Ingresos brutos</t>
  </si>
  <si>
    <t>Anticipos 60%</t>
  </si>
  <si>
    <t>Saldos 40%</t>
  </si>
  <si>
    <t>Costo variable</t>
  </si>
  <si>
    <t>Costo fijo</t>
  </si>
  <si>
    <t>Caja neta</t>
  </si>
  <si>
    <t>Mes 1</t>
  </si>
  <si>
    <t>Mes 2</t>
  </si>
  <si>
    <t>Mes 3</t>
  </si>
  <si>
    <t>Mes 4</t>
  </si>
  <si>
    <t>Mes 5</t>
  </si>
  <si>
    <t>Mes 6</t>
  </si>
  <si>
    <t>TOTAL 6 MESES</t>
  </si>
  <si>
    <t>Alcance realizado y pendientes</t>
  </si>
  <si>
    <t>Recopilacion del proyecto ejecutado.</t>
  </si>
  <si>
    <t>Modulo</t>
  </si>
  <si>
    <t>Detalle</t>
  </si>
  <si>
    <t>Base de datos Supabase</t>
  </si>
  <si>
    <t>Realizado</t>
  </si>
  <si>
    <t>Products, quotes, settings, product_models, users/auth, storage y RLS.</t>
  </si>
  <si>
    <t>Sitio publico</t>
  </si>
  <si>
    <t>Inicio, quienes somos, servicios, medidas/cuidados y categorias.</t>
  </si>
  <si>
    <t>Cotizador</t>
  </si>
  <si>
    <t>Colores, tallas, cantidades, carrito, datos cliente, totales y envio.</t>
  </si>
  <si>
    <t>Admin productos</t>
  </si>
  <si>
    <t>CRUD, imagenes, tallas, colores, precios, mayorista y estado activo.</t>
  </si>
  <si>
    <t>Admin cotizaciones</t>
  </si>
  <si>
    <t>Listado, detalle, estado, respuesta y seguimiento.</t>
  </si>
  <si>
    <t>Branding y reglas</t>
  </si>
  <si>
    <t>Datos empresa, bancos, IVA, descuento, validez y condiciones.</t>
  </si>
  <si>
    <t>Usuarios admin</t>
  </si>
  <si>
    <t>Gestion de usuarios y roles via Supabase Auth.</t>
  </si>
  <si>
    <t>Modelos 3D</t>
  </si>
  <si>
    <t>Carga GLB/GLTF, asociacion a producto y calibracion.</t>
  </si>
  <si>
    <t>Visualizador 3D</t>
  </si>
  <si>
    <t>Prenda-only GLB sin maniqui; limpieza de dead code.</t>
  </si>
  <si>
    <t>Email</t>
  </si>
  <si>
    <t>Route Handler con Resend para cotizacion y respuesta admin.</t>
  </si>
  <si>
    <t>QA tecnico</t>
  </si>
  <si>
    <t>Lint limpio, build OK y pruebas locales 200.</t>
  </si>
  <si>
    <t>Optimizacion colores</t>
  </si>
  <si>
    <t>Prefetch/cache de imagenes y modelos, reducir recomputo visual.</t>
  </si>
  <si>
    <t>QA final produccion</t>
  </si>
  <si>
    <t>Prueba end-to-end con datos reales, variables, seguridad y deploy.</t>
  </si>
  <si>
    <t>Medicion comercial</t>
  </si>
  <si>
    <t>KPIs: cotizaciones, conversion, ticket promedio, margen y tiempos de respuesta.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</si>
</sst>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164" formatCode="&quot;$&quot;#,##0"/>
    <numFmt numFmtId="165" formatCode="0.0%"/>
  </numFmts>
  <fonts count="9">
    <font>
      <sz val="11"/>
      <name val="Carlito"/>
    </font>
    <font>
      <b/>
      <sz val="16"/>
      <color rgb="FFFFFFFF"/>
      <name val="Carlito"/>
    </font>
    <font>
      <i/>
      <sz val="11"/>
      <color rgb="FF64748B"/>
      <name val="Carlito"/>
    </font>
    <font>
      <sz val="11"/>
      <color rgb="FF111827"/>
      <name val="Carlito"/>
    </font>
    <font>
      <b/>
      <sz val="11"/>
      <color rgb="FF111827"/>
      <name val="Carlito"/>
    </font>
    <font>
      <b/>
      <sz val="11"/>
      <color rgb="FFFFFFFF"/>
      <name val="Carlito"/>
    </font>
    <font>
      <b/>
      <sz val="11"/>
      <color rgb="FF46B9C8"/>
      <name val="Carlito"/>
    </font>
    <font>
      <b/>
      <sz val="11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5181B"/>
      </patternFill>
    </fill>
    <fill>
      <patternFill patternType="solid">
        <fgColor rgb="FFEEF7F9"/>
      </patternFill>
    </fill>
    <fill>
      <patternFill patternType="solid">
        <fgColor rgb="FFF7F2EA"/>
      </patternFill>
    </fill>
    <fill>
      <patternFill patternType="solid">
        <fgColor rgb="FF0F172A"/>
      </patternFill>
    </fill>
    <fill>
      <patternFill patternType="solid">
        <fgColor rgb="FFBD7B2F"/>
      </patternFill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42" fontId="8" fillId="0" borderId="0" applyFont="0" applyFill="0" applyBorder="0" applyAlignment="0" applyProtection="0"/>
  </cellStyleXfs>
  <cellXfs count="21">
    <xf numFmtId="0" fontId="0" fillId="0" borderId="0" xfId="0"/>
    <xf numFmtId="0" fontId="3" fillId="0" borderId="1" xfId="0" applyFont="1" applyBorder="1"/>
    <xf numFmtId="0" fontId="4" fillId="4" borderId="1" xfId="0" applyFont="1" applyFill="1" applyBorder="1"/>
    <xf numFmtId="164" fontId="3" fillId="0" borderId="1" xfId="0" applyNumberFormat="1" applyFont="1" applyBorder="1"/>
    <xf numFmtId="0" fontId="5" fillId="5" borderId="1" xfId="0" applyFont="1" applyFill="1" applyBorder="1"/>
    <xf numFmtId="165" fontId="3" fillId="0" borderId="1" xfId="0" applyNumberFormat="1" applyFont="1" applyBorder="1"/>
    <xf numFmtId="0" fontId="5" fillId="6" borderId="1" xfId="0" applyFont="1" applyFill="1" applyBorder="1"/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5" fillId="7" borderId="1" xfId="0" applyFont="1" applyFill="1" applyBorder="1"/>
    <xf numFmtId="0" fontId="6" fillId="0" borderId="1" xfId="0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0" fontId="7" fillId="3" borderId="1" xfId="0" applyFont="1" applyFill="1" applyBorder="1"/>
    <xf numFmtId="164" fontId="0" fillId="0" borderId="0" xfId="0" applyNumberFormat="1"/>
    <xf numFmtId="164" fontId="7" fillId="3" borderId="1" xfId="0" applyNumberFormat="1" applyFont="1" applyFill="1" applyBorder="1"/>
    <xf numFmtId="0" fontId="1" fillId="2" borderId="0" xfId="0" applyFont="1" applyFill="1"/>
    <xf numFmtId="0" fontId="0" fillId="0" borderId="0" xfId="0"/>
    <xf numFmtId="0" fontId="2" fillId="3" borderId="0" xfId="0" applyFont="1" applyFill="1"/>
    <xf numFmtId="42" fontId="3" fillId="0" borderId="1" xfId="1" applyFont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Caja neta mensual estimada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Caja neta</c:v>
          </c:tx>
          <c:cat>
            <c:strRef>
              <c:f>'Flujo Caja'!$M$5:$M$10</c:f>
              <c:strCache>
                <c:ptCount val="6"/>
                <c:pt idx="0">
                  <c:v>Mes 1</c:v>
                </c:pt>
                <c:pt idx="1">
                  <c:v>Mes 2</c:v>
                </c:pt>
                <c:pt idx="2">
                  <c:v>Mes 3</c:v>
                </c:pt>
                <c:pt idx="3">
                  <c:v>Mes 4</c:v>
                </c:pt>
                <c:pt idx="4">
                  <c:v>Mes 5</c:v>
                </c:pt>
                <c:pt idx="5">
                  <c:v>Mes 6</c:v>
                </c:pt>
              </c:strCache>
            </c:strRef>
          </c:cat>
          <c:val>
            <c:numRef>
              <c:f>'Flujo Caja'!$N$5:$N$10</c:f>
              <c:numCache>
                <c:formatCode>"$"#,##0</c:formatCode>
                <c:ptCount val="6"/>
                <c:pt idx="0">
                  <c:v>17000</c:v>
                </c:pt>
                <c:pt idx="1">
                  <c:v>894499.99999999977</c:v>
                </c:pt>
                <c:pt idx="2">
                  <c:v>1772000</c:v>
                </c:pt>
                <c:pt idx="3">
                  <c:v>2649499.9999999995</c:v>
                </c:pt>
                <c:pt idx="4">
                  <c:v>3527000</c:v>
                </c:pt>
                <c:pt idx="5">
                  <c:v>4404499.9999999991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9-40D2-9C84-A18B00D51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$&quot;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11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showGridLines="0" workbookViewId="0">
      <selection sqref="A1:H1"/>
    </sheetView>
  </sheetViews>
  <sheetFormatPr baseColWidth="10" defaultColWidth="9" defaultRowHeight="14.25"/>
  <cols>
    <col min="1" max="1" width="28.75" customWidth="1"/>
    <col min="2" max="2" width="90" customWidth="1"/>
  </cols>
  <sheetData>
    <row r="1" spans="1:8" ht="19.149999999999999" customHeight="1">
      <c r="A1" s="17" t="s">
        <v>0</v>
      </c>
      <c r="B1" s="18"/>
      <c r="C1" s="18"/>
      <c r="D1" s="18"/>
      <c r="E1" s="18"/>
      <c r="F1" s="18"/>
      <c r="G1" s="18"/>
      <c r="H1" s="18"/>
    </row>
    <row r="2" spans="1:8" ht="15" customHeight="1">
      <c r="A2" s="19" t="s">
        <v>1</v>
      </c>
      <c r="B2" s="18"/>
      <c r="C2" s="18"/>
      <c r="D2" s="18"/>
      <c r="E2" s="18"/>
      <c r="F2" s="18"/>
      <c r="G2" s="18"/>
      <c r="H2" s="18"/>
    </row>
    <row r="4" spans="1:8" ht="15" customHeight="1">
      <c r="A4" s="2" t="s">
        <v>2</v>
      </c>
      <c r="B4" s="1" t="s">
        <v>3</v>
      </c>
    </row>
    <row r="5" spans="1:8" ht="15" customHeight="1">
      <c r="A5" s="2" t="s">
        <v>4</v>
      </c>
      <c r="B5" s="1" t="s">
        <v>5</v>
      </c>
    </row>
    <row r="6" spans="1:8" ht="15" customHeight="1">
      <c r="A6" s="2" t="s">
        <v>6</v>
      </c>
      <c r="B6" s="1" t="s">
        <v>7</v>
      </c>
    </row>
    <row r="7" spans="1:8" ht="15" customHeight="1">
      <c r="A7" s="2" t="s">
        <v>8</v>
      </c>
      <c r="B7" s="1" t="s">
        <v>9</v>
      </c>
    </row>
    <row r="8" spans="1:8" ht="15" customHeight="1">
      <c r="A8" s="2" t="s">
        <v>10</v>
      </c>
      <c r="B8" s="3">
        <f>'Costos Proyecto'!F19</f>
        <v>7380000</v>
      </c>
    </row>
    <row r="9" spans="1:8" ht="15" customHeight="1">
      <c r="A9" s="2" t="s">
        <v>11</v>
      </c>
      <c r="B9" s="3">
        <f>'Costos Proyecto'!F20</f>
        <v>195000</v>
      </c>
    </row>
    <row r="10" spans="1:8" ht="15" customHeight="1">
      <c r="A10" s="2" t="s">
        <v>12</v>
      </c>
      <c r="B10" s="3">
        <f>'Costos Proyecto'!F21</f>
        <v>568000</v>
      </c>
    </row>
    <row r="11" spans="1:8" ht="15" customHeight="1">
      <c r="A11" s="2" t="s">
        <v>13</v>
      </c>
      <c r="B11" s="1" t="s">
        <v>14</v>
      </c>
    </row>
    <row r="12" spans="1:8" ht="15" customHeight="1">
      <c r="A12" s="2" t="s">
        <v>15</v>
      </c>
      <c r="B12" s="1" t="s">
        <v>16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topLeftCell="A3" workbookViewId="0">
      <selection activeCell="F12" sqref="F12"/>
    </sheetView>
  </sheetViews>
  <sheetFormatPr baseColWidth="10" defaultColWidth="9" defaultRowHeight="14.25"/>
  <cols>
    <col min="1" max="1" width="36.25" customWidth="1"/>
    <col min="2" max="2" width="27.5" customWidth="1"/>
  </cols>
  <sheetData>
    <row r="1" spans="1:8" ht="19.149999999999999" customHeight="1">
      <c r="A1" s="17" t="s">
        <v>17</v>
      </c>
      <c r="B1" s="18"/>
      <c r="C1" s="18"/>
      <c r="D1" s="18"/>
      <c r="E1" s="18"/>
      <c r="F1" s="18"/>
      <c r="G1" s="18"/>
      <c r="H1" s="18"/>
    </row>
    <row r="2" spans="1:8" ht="15" customHeight="1">
      <c r="A2" s="19" t="s">
        <v>18</v>
      </c>
      <c r="B2" s="18"/>
      <c r="C2" s="18"/>
      <c r="D2" s="18"/>
      <c r="E2" s="18"/>
      <c r="F2" s="18"/>
      <c r="G2" s="18"/>
      <c r="H2" s="18"/>
    </row>
    <row r="4" spans="1:8" ht="15" customHeight="1">
      <c r="A4" s="4" t="s">
        <v>19</v>
      </c>
      <c r="B4" s="4" t="s">
        <v>20</v>
      </c>
    </row>
    <row r="5" spans="1:8" ht="15" customHeight="1">
      <c r="A5" s="1" t="s">
        <v>21</v>
      </c>
      <c r="B5" s="1" t="s">
        <v>22</v>
      </c>
    </row>
    <row r="6" spans="1:8" ht="15" customHeight="1">
      <c r="A6" s="1" t="s">
        <v>23</v>
      </c>
      <c r="B6" s="3">
        <v>1</v>
      </c>
    </row>
    <row r="7" spans="1:8" ht="15" customHeight="1">
      <c r="A7" s="1" t="s">
        <v>24</v>
      </c>
      <c r="B7" s="3">
        <v>18000</v>
      </c>
    </row>
    <row r="8" spans="1:8" ht="15" customHeight="1">
      <c r="A8" s="1" t="s">
        <v>25</v>
      </c>
      <c r="B8" s="1">
        <v>410</v>
      </c>
    </row>
    <row r="9" spans="1:8" ht="15" customHeight="1">
      <c r="A9" s="1" t="s">
        <v>26</v>
      </c>
      <c r="B9" s="1" t="s">
        <v>27</v>
      </c>
    </row>
    <row r="10" spans="1:8" ht="15" customHeight="1">
      <c r="A10" s="1" t="s">
        <v>28</v>
      </c>
      <c r="B10" s="5">
        <v>0.19</v>
      </c>
    </row>
    <row r="11" spans="1:8" ht="15" customHeight="1">
      <c r="A11" s="1" t="s">
        <v>29</v>
      </c>
      <c r="B11" s="5">
        <v>0.6</v>
      </c>
    </row>
    <row r="12" spans="1:8" ht="15" customHeight="1">
      <c r="A12" s="1" t="s">
        <v>30</v>
      </c>
      <c r="B12" s="1">
        <v>0.4</v>
      </c>
    </row>
    <row r="13" spans="1:8" ht="15" customHeight="1">
      <c r="A13" s="1" t="s">
        <v>31</v>
      </c>
      <c r="B13" s="3">
        <v>0.45</v>
      </c>
    </row>
    <row r="14" spans="1:8" ht="15" customHeight="1">
      <c r="A14" s="1" t="s">
        <v>32</v>
      </c>
      <c r="B14" s="20">
        <v>650000</v>
      </c>
    </row>
    <row r="15" spans="1:8" ht="15" customHeight="1">
      <c r="A15" s="1" t="s">
        <v>33</v>
      </c>
      <c r="B15" s="5">
        <v>18</v>
      </c>
    </row>
    <row r="16" spans="1:8" ht="15" customHeight="1">
      <c r="A16" s="1" t="s">
        <v>34</v>
      </c>
      <c r="B16" s="1">
        <v>0.28000000000000003</v>
      </c>
    </row>
    <row r="17" spans="1:2" ht="15" customHeight="1">
      <c r="A17" t="s">
        <v>35</v>
      </c>
      <c r="B17">
        <v>5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workbookViewId="0">
      <selection sqref="A1:H1"/>
    </sheetView>
  </sheetViews>
  <sheetFormatPr baseColWidth="10" defaultColWidth="9" defaultRowHeight="14.25"/>
  <cols>
    <col min="1" max="1" width="28.75" customWidth="1"/>
    <col min="2" max="2" width="102.5" customWidth="1"/>
  </cols>
  <sheetData>
    <row r="1" spans="1:8" ht="19.149999999999999" customHeight="1">
      <c r="A1" s="17" t="s">
        <v>36</v>
      </c>
      <c r="B1" s="18"/>
      <c r="C1" s="18"/>
      <c r="D1" s="18"/>
      <c r="E1" s="18"/>
      <c r="F1" s="18"/>
      <c r="G1" s="18"/>
      <c r="H1" s="18"/>
    </row>
    <row r="2" spans="1:8" ht="15" customHeight="1">
      <c r="A2" s="19" t="s">
        <v>37</v>
      </c>
      <c r="B2" s="18"/>
      <c r="C2" s="18"/>
      <c r="D2" s="18"/>
      <c r="E2" s="18"/>
      <c r="F2" s="18"/>
      <c r="G2" s="18"/>
      <c r="H2" s="18"/>
    </row>
    <row r="4" spans="1:8" ht="15" customHeight="1">
      <c r="A4" s="6" t="s">
        <v>38</v>
      </c>
      <c r="B4" s="6" t="s">
        <v>39</v>
      </c>
    </row>
    <row r="5" spans="1:8" ht="15" customHeight="1">
      <c r="A5" s="1" t="s">
        <v>40</v>
      </c>
      <c r="B5" s="7" t="s">
        <v>41</v>
      </c>
    </row>
    <row r="6" spans="1:8" ht="15" customHeight="1">
      <c r="A6" s="1" t="s">
        <v>42</v>
      </c>
      <c r="B6" s="7" t="s">
        <v>43</v>
      </c>
    </row>
    <row r="7" spans="1:8" ht="15" customHeight="1">
      <c r="A7" s="1" t="s">
        <v>44</v>
      </c>
      <c r="B7" s="7" t="s">
        <v>45</v>
      </c>
    </row>
    <row r="8" spans="1:8" ht="15" customHeight="1">
      <c r="A8" s="1" t="s">
        <v>46</v>
      </c>
      <c r="B8" s="7" t="s">
        <v>47</v>
      </c>
    </row>
    <row r="9" spans="1:8" ht="15" customHeight="1">
      <c r="A9" s="1" t="s">
        <v>48</v>
      </c>
      <c r="B9" s="7" t="s">
        <v>49</v>
      </c>
    </row>
    <row r="10" spans="1:8" ht="15" customHeight="1">
      <c r="A10" s="1" t="s">
        <v>50</v>
      </c>
      <c r="B10" s="7" t="s">
        <v>51</v>
      </c>
    </row>
    <row r="11" spans="1:8" ht="15" customHeight="1">
      <c r="A11" s="1" t="s">
        <v>52</v>
      </c>
      <c r="B11" s="7" t="s">
        <v>53</v>
      </c>
    </row>
    <row r="12" spans="1:8" ht="15" customHeight="1">
      <c r="A12" s="1" t="s">
        <v>54</v>
      </c>
      <c r="B12" s="7" t="s">
        <v>55</v>
      </c>
    </row>
    <row r="13" spans="1:8" ht="15" customHeight="1">
      <c r="A13" t="s">
        <v>56</v>
      </c>
      <c r="B13" s="8" t="s">
        <v>57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showGridLines="0" workbookViewId="0">
      <selection sqref="A1:H1"/>
    </sheetView>
  </sheetViews>
  <sheetFormatPr baseColWidth="10" defaultColWidth="9" defaultRowHeight="14.25"/>
  <cols>
    <col min="1" max="1" width="18.75" customWidth="1"/>
    <col min="2" max="2" width="65" customWidth="1"/>
    <col min="3" max="3" width="52.5" customWidth="1"/>
  </cols>
  <sheetData>
    <row r="1" spans="1:8" ht="19.149999999999999" customHeight="1">
      <c r="A1" s="17" t="s">
        <v>58</v>
      </c>
      <c r="B1" s="18"/>
      <c r="C1" s="18"/>
      <c r="D1" s="18"/>
      <c r="E1" s="18"/>
      <c r="F1" s="18"/>
      <c r="G1" s="18"/>
      <c r="H1" s="18"/>
    </row>
    <row r="2" spans="1:8" ht="15" customHeight="1">
      <c r="A2" s="19" t="s">
        <v>59</v>
      </c>
      <c r="B2" s="18"/>
      <c r="C2" s="18"/>
      <c r="D2" s="18"/>
      <c r="E2" s="18"/>
      <c r="F2" s="18"/>
      <c r="G2" s="18"/>
      <c r="H2" s="18"/>
    </row>
    <row r="4" spans="1:8" ht="15" customHeight="1">
      <c r="A4" s="9" t="s">
        <v>60</v>
      </c>
      <c r="B4" s="9" t="s">
        <v>61</v>
      </c>
      <c r="C4" s="9" t="s">
        <v>62</v>
      </c>
    </row>
    <row r="5" spans="1:8" ht="26.45" customHeight="1">
      <c r="A5" s="1" t="s">
        <v>63</v>
      </c>
      <c r="B5" s="7" t="s">
        <v>64</v>
      </c>
      <c r="C5" s="7" t="s">
        <v>65</v>
      </c>
    </row>
    <row r="6" spans="1:8" ht="26.45" customHeight="1">
      <c r="A6" s="1" t="s">
        <v>66</v>
      </c>
      <c r="B6" s="7" t="s">
        <v>67</v>
      </c>
      <c r="C6" s="7" t="s">
        <v>68</v>
      </c>
    </row>
    <row r="7" spans="1:8" ht="15" customHeight="1">
      <c r="A7" s="1" t="s">
        <v>69</v>
      </c>
      <c r="B7" s="7" t="s">
        <v>70</v>
      </c>
      <c r="C7" s="7" t="s">
        <v>71</v>
      </c>
    </row>
    <row r="8" spans="1:8" ht="15" customHeight="1">
      <c r="A8" s="1" t="s">
        <v>72</v>
      </c>
      <c r="B8" s="7" t="s">
        <v>73</v>
      </c>
      <c r="C8" s="7" t="s">
        <v>74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7"/>
  <sheetViews>
    <sheetView showGridLines="0" topLeftCell="A3" workbookViewId="0">
      <selection sqref="A1:H1"/>
    </sheetView>
  </sheetViews>
  <sheetFormatPr baseColWidth="10" defaultColWidth="9" defaultRowHeight="14.25"/>
  <cols>
    <col min="1" max="1" width="36.25" customWidth="1"/>
    <col min="2" max="2" width="16.25" customWidth="1"/>
    <col min="3" max="4" width="7.5" customWidth="1"/>
    <col min="5" max="5" width="8.75" customWidth="1"/>
    <col min="6" max="6" width="13.75" customWidth="1"/>
    <col min="7" max="7" width="45" customWidth="1"/>
    <col min="8" max="8" width="10" customWidth="1"/>
    <col min="9" max="20" width="4.75" customWidth="1"/>
  </cols>
  <sheetData>
    <row r="1" spans="1:21" ht="19.149999999999999" customHeight="1">
      <c r="A1" s="17" t="s">
        <v>75</v>
      </c>
      <c r="B1" s="18"/>
      <c r="C1" s="18"/>
      <c r="D1" s="18"/>
      <c r="E1" s="18"/>
      <c r="F1" s="18"/>
      <c r="G1" s="18"/>
      <c r="H1" s="18"/>
    </row>
    <row r="2" spans="1:21" ht="15" customHeight="1">
      <c r="A2" s="19" t="s">
        <v>76</v>
      </c>
      <c r="B2" s="18"/>
      <c r="C2" s="18"/>
      <c r="D2" s="18"/>
      <c r="E2" s="18"/>
      <c r="F2" s="18"/>
      <c r="G2" s="18"/>
      <c r="H2" s="18"/>
    </row>
    <row r="4" spans="1:21" ht="15" customHeight="1">
      <c r="A4" s="4" t="s">
        <v>77</v>
      </c>
      <c r="B4" s="4" t="s">
        <v>78</v>
      </c>
      <c r="C4" s="4" t="s">
        <v>79</v>
      </c>
      <c r="D4" s="4" t="s">
        <v>80</v>
      </c>
      <c r="E4" s="4" t="s">
        <v>81</v>
      </c>
      <c r="F4" s="4" t="s">
        <v>82</v>
      </c>
      <c r="G4" s="4" t="s">
        <v>83</v>
      </c>
      <c r="H4" s="4" t="s">
        <v>84</v>
      </c>
      <c r="I4" s="4" t="s">
        <v>85</v>
      </c>
      <c r="J4" s="4" t="s">
        <v>86</v>
      </c>
      <c r="K4" s="4" t="s">
        <v>87</v>
      </c>
      <c r="L4" s="4" t="s">
        <v>88</v>
      </c>
      <c r="M4" s="4" t="s">
        <v>89</v>
      </c>
      <c r="N4" s="4" t="s">
        <v>90</v>
      </c>
      <c r="O4" s="4" t="s">
        <v>91</v>
      </c>
      <c r="P4" s="4" t="s">
        <v>92</v>
      </c>
      <c r="Q4" s="4" t="s">
        <v>93</v>
      </c>
      <c r="R4" s="4" t="s">
        <v>94</v>
      </c>
      <c r="S4" s="4" t="s">
        <v>95</v>
      </c>
      <c r="T4" s="4" t="s">
        <v>96</v>
      </c>
    </row>
    <row r="5" spans="1:21" ht="15" customHeight="1">
      <c r="A5" s="1" t="s">
        <v>97</v>
      </c>
      <c r="B5" s="1" t="s">
        <v>98</v>
      </c>
      <c r="C5" s="1">
        <v>1</v>
      </c>
      <c r="D5" s="1">
        <v>1</v>
      </c>
      <c r="E5" s="1">
        <v>18</v>
      </c>
      <c r="F5" s="1" t="s">
        <v>99</v>
      </c>
      <c r="G5" s="1" t="s">
        <v>100</v>
      </c>
      <c r="H5" s="5">
        <v>1</v>
      </c>
      <c r="I5" s="10"/>
      <c r="J5" s="10" t="s">
        <v>101</v>
      </c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21" ht="15" customHeight="1">
      <c r="A6" s="1" t="s">
        <v>102</v>
      </c>
      <c r="B6" s="1" t="s">
        <v>103</v>
      </c>
      <c r="C6" s="1">
        <v>1</v>
      </c>
      <c r="D6" s="1">
        <v>2</v>
      </c>
      <c r="E6" s="1">
        <v>38</v>
      </c>
      <c r="F6" s="1" t="s">
        <v>99</v>
      </c>
      <c r="G6" s="1" t="s">
        <v>104</v>
      </c>
      <c r="H6" s="5">
        <v>1</v>
      </c>
      <c r="I6" s="10"/>
      <c r="J6" s="10" t="s">
        <v>101</v>
      </c>
      <c r="K6" s="10" t="s">
        <v>101</v>
      </c>
      <c r="L6" s="10"/>
      <c r="M6" s="10"/>
      <c r="N6" s="10"/>
      <c r="O6" s="10"/>
      <c r="P6" s="10"/>
      <c r="Q6" s="10"/>
      <c r="R6" s="10"/>
      <c r="S6" s="10"/>
      <c r="T6" s="10"/>
    </row>
    <row r="7" spans="1:21" ht="15" customHeight="1">
      <c r="A7" s="1" t="s">
        <v>105</v>
      </c>
      <c r="B7" s="1" t="s">
        <v>106</v>
      </c>
      <c r="C7" s="1">
        <v>2</v>
      </c>
      <c r="D7" s="1">
        <v>3</v>
      </c>
      <c r="E7" s="1">
        <v>34</v>
      </c>
      <c r="F7" s="1" t="s">
        <v>99</v>
      </c>
      <c r="G7" s="1" t="s">
        <v>107</v>
      </c>
      <c r="H7" s="5">
        <v>1</v>
      </c>
      <c r="I7" s="10"/>
      <c r="J7" s="10"/>
      <c r="K7" s="10" t="s">
        <v>101</v>
      </c>
      <c r="L7" s="10" t="s">
        <v>101</v>
      </c>
      <c r="M7" s="10"/>
      <c r="N7" s="10"/>
      <c r="O7" s="10"/>
      <c r="P7" s="10"/>
      <c r="Q7" s="10"/>
      <c r="R7" s="10"/>
      <c r="S7" s="10"/>
      <c r="T7" s="10"/>
    </row>
    <row r="8" spans="1:21" ht="15" customHeight="1">
      <c r="A8" s="1" t="s">
        <v>108</v>
      </c>
      <c r="B8" s="1" t="s">
        <v>103</v>
      </c>
      <c r="C8" s="1">
        <v>3</v>
      </c>
      <c r="D8" s="1">
        <v>4</v>
      </c>
      <c r="E8" s="1">
        <v>34</v>
      </c>
      <c r="F8" s="1" t="s">
        <v>99</v>
      </c>
      <c r="G8" s="1" t="s">
        <v>109</v>
      </c>
      <c r="H8" s="5">
        <v>1</v>
      </c>
      <c r="I8" s="10"/>
      <c r="J8" s="10"/>
      <c r="K8" s="10"/>
      <c r="L8" s="10" t="s">
        <v>101</v>
      </c>
      <c r="M8" s="10" t="s">
        <v>101</v>
      </c>
      <c r="N8" s="10"/>
      <c r="O8" s="10"/>
      <c r="P8" s="10"/>
      <c r="Q8" s="10"/>
      <c r="R8" s="10"/>
      <c r="S8" s="10"/>
      <c r="T8" s="10"/>
    </row>
    <row r="9" spans="1:21" ht="15" customHeight="1">
      <c r="A9" s="1" t="s">
        <v>110</v>
      </c>
      <c r="B9" s="1" t="s">
        <v>111</v>
      </c>
      <c r="C9" s="1">
        <v>4</v>
      </c>
      <c r="D9" s="1">
        <v>6</v>
      </c>
      <c r="E9" s="1">
        <v>54</v>
      </c>
      <c r="F9" s="1" t="s">
        <v>99</v>
      </c>
      <c r="G9" s="1" t="s">
        <v>112</v>
      </c>
      <c r="H9" s="5">
        <v>1</v>
      </c>
      <c r="I9" s="10"/>
      <c r="J9" s="10"/>
      <c r="K9" s="10"/>
      <c r="L9" s="10"/>
      <c r="M9" s="10" t="s">
        <v>101</v>
      </c>
      <c r="N9" s="10" t="s">
        <v>101</v>
      </c>
      <c r="O9" s="10" t="s">
        <v>101</v>
      </c>
      <c r="P9" s="10"/>
      <c r="Q9" s="10"/>
      <c r="R9" s="10"/>
      <c r="S9" s="10"/>
      <c r="T9" s="10"/>
    </row>
    <row r="10" spans="1:21" ht="15" customHeight="1">
      <c r="A10" s="1" t="s">
        <v>113</v>
      </c>
      <c r="B10" s="1" t="s">
        <v>114</v>
      </c>
      <c r="C10" s="1">
        <v>5</v>
      </c>
      <c r="D10" s="1">
        <v>7</v>
      </c>
      <c r="E10" s="1">
        <v>46</v>
      </c>
      <c r="F10" s="1" t="s">
        <v>99</v>
      </c>
      <c r="G10" s="1" t="s">
        <v>115</v>
      </c>
      <c r="H10" s="5">
        <v>1</v>
      </c>
      <c r="I10" s="10"/>
      <c r="J10" s="10"/>
      <c r="K10" s="10"/>
      <c r="L10" s="10"/>
      <c r="M10" s="10"/>
      <c r="N10" s="10" t="s">
        <v>101</v>
      </c>
      <c r="O10" s="10" t="s">
        <v>101</v>
      </c>
      <c r="P10" s="10" t="s">
        <v>101</v>
      </c>
      <c r="Q10" s="10"/>
      <c r="R10" s="10"/>
      <c r="S10" s="10"/>
      <c r="T10" s="10"/>
    </row>
    <row r="11" spans="1:21" ht="15" customHeight="1">
      <c r="A11" s="1" t="s">
        <v>116</v>
      </c>
      <c r="B11" s="1" t="s">
        <v>117</v>
      </c>
      <c r="C11" s="1">
        <v>6</v>
      </c>
      <c r="D11" s="1">
        <v>8</v>
      </c>
      <c r="E11" s="1">
        <v>38</v>
      </c>
      <c r="F11" s="1" t="s">
        <v>99</v>
      </c>
      <c r="G11" s="1" t="s">
        <v>118</v>
      </c>
      <c r="H11" s="5">
        <v>1</v>
      </c>
      <c r="I11" s="10"/>
      <c r="J11" s="10"/>
      <c r="K11" s="10"/>
      <c r="L11" s="10"/>
      <c r="M11" s="10"/>
      <c r="N11" s="10"/>
      <c r="O11" s="10" t="s">
        <v>101</v>
      </c>
      <c r="P11" s="10" t="s">
        <v>101</v>
      </c>
      <c r="Q11" s="10" t="s">
        <v>101</v>
      </c>
      <c r="R11" s="10"/>
      <c r="S11" s="10"/>
      <c r="T11" s="10"/>
    </row>
    <row r="12" spans="1:21" ht="15" customHeight="1">
      <c r="A12" s="1" t="s">
        <v>119</v>
      </c>
      <c r="B12" s="1" t="s">
        <v>117</v>
      </c>
      <c r="C12" s="1">
        <v>7</v>
      </c>
      <c r="D12" s="1">
        <v>9</v>
      </c>
      <c r="E12" s="1">
        <v>36</v>
      </c>
      <c r="F12" s="1" t="s">
        <v>99</v>
      </c>
      <c r="G12" s="1" t="s">
        <v>120</v>
      </c>
      <c r="H12" s="5">
        <v>1</v>
      </c>
      <c r="I12" s="10"/>
      <c r="J12" s="10"/>
      <c r="K12" s="10"/>
      <c r="L12" s="10"/>
      <c r="M12" s="10"/>
      <c r="N12" s="10"/>
      <c r="O12" s="10"/>
      <c r="P12" s="10" t="s">
        <v>101</v>
      </c>
      <c r="Q12" s="10" t="s">
        <v>101</v>
      </c>
      <c r="R12" s="10" t="s">
        <v>101</v>
      </c>
      <c r="S12" s="10"/>
      <c r="T12" s="10"/>
    </row>
    <row r="13" spans="1:21" ht="15" customHeight="1">
      <c r="A13" s="1" t="s">
        <v>121</v>
      </c>
      <c r="B13" s="1" t="s">
        <v>122</v>
      </c>
      <c r="C13" s="1">
        <v>8</v>
      </c>
      <c r="D13" s="1">
        <v>9</v>
      </c>
      <c r="E13" s="1">
        <v>30</v>
      </c>
      <c r="F13" s="1" t="s">
        <v>99</v>
      </c>
      <c r="G13" s="1" t="s">
        <v>123</v>
      </c>
      <c r="H13" s="5">
        <v>1</v>
      </c>
      <c r="I13" s="10"/>
      <c r="J13" s="10"/>
      <c r="K13" s="10"/>
      <c r="L13" s="10"/>
      <c r="M13" s="10"/>
      <c r="N13" s="10"/>
      <c r="O13" s="10"/>
      <c r="P13" s="10"/>
      <c r="Q13" s="10" t="s">
        <v>101</v>
      </c>
      <c r="R13" s="10" t="s">
        <v>101</v>
      </c>
      <c r="S13" s="10"/>
      <c r="T13" s="10"/>
    </row>
    <row r="14" spans="1:21" ht="15" customHeight="1">
      <c r="A14" s="1" t="s">
        <v>124</v>
      </c>
      <c r="B14" s="1" t="s">
        <v>122</v>
      </c>
      <c r="C14" s="1">
        <v>10</v>
      </c>
      <c r="D14" s="1">
        <v>10</v>
      </c>
      <c r="E14" s="1">
        <v>22</v>
      </c>
      <c r="F14" s="1" t="s">
        <v>99</v>
      </c>
      <c r="G14" s="1" t="s">
        <v>125</v>
      </c>
      <c r="H14" s="5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 t="s">
        <v>101</v>
      </c>
      <c r="T14" s="10"/>
    </row>
    <row r="15" spans="1:21" ht="15" customHeight="1">
      <c r="A15" s="1" t="s">
        <v>126</v>
      </c>
      <c r="B15" s="1" t="s">
        <v>127</v>
      </c>
      <c r="C15" s="1">
        <v>11</v>
      </c>
      <c r="D15" s="1">
        <v>11</v>
      </c>
      <c r="E15" s="1">
        <v>18</v>
      </c>
      <c r="F15" s="1" t="s">
        <v>99</v>
      </c>
      <c r="G15" s="1" t="s">
        <v>128</v>
      </c>
      <c r="H15" s="5">
        <v>1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101</v>
      </c>
    </row>
    <row r="16" spans="1:21" ht="15" customHeight="1">
      <c r="A16" s="1" t="s">
        <v>129</v>
      </c>
      <c r="B16" s="1" t="s">
        <v>130</v>
      </c>
      <c r="C16" s="1">
        <v>12</v>
      </c>
      <c r="D16" s="1">
        <v>12</v>
      </c>
      <c r="E16" s="1">
        <v>22</v>
      </c>
      <c r="F16" s="1" t="s">
        <v>131</v>
      </c>
      <c r="G16" s="1" t="s">
        <v>132</v>
      </c>
      <c r="H16" s="5">
        <v>0.15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t="s">
        <v>101</v>
      </c>
    </row>
    <row r="17" spans="1:21" ht="15" customHeight="1">
      <c r="A17" s="1" t="s">
        <v>133</v>
      </c>
      <c r="B17" s="1" t="s">
        <v>134</v>
      </c>
      <c r="C17" s="1">
        <v>12</v>
      </c>
      <c r="D17" s="1">
        <v>12</v>
      </c>
      <c r="E17" s="1">
        <v>20</v>
      </c>
      <c r="F17" s="1" t="s">
        <v>131</v>
      </c>
      <c r="G17" s="1" t="s">
        <v>135</v>
      </c>
      <c r="H17" s="5">
        <v>0.15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t="s">
        <v>101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showGridLines="0" topLeftCell="A3" workbookViewId="0">
      <selection sqref="A1:H1"/>
    </sheetView>
  </sheetViews>
  <sheetFormatPr baseColWidth="10" defaultColWidth="9" defaultRowHeight="14.25"/>
  <cols>
    <col min="1" max="1" width="37.5" customWidth="1"/>
    <col min="2" max="2" width="10" customWidth="1"/>
    <col min="3" max="3" width="13.75" customWidth="1"/>
    <col min="4" max="4" width="16.25" customWidth="1"/>
    <col min="5" max="5" width="11.25" customWidth="1"/>
    <col min="6" max="6" width="67.625" bestFit="1" customWidth="1"/>
  </cols>
  <sheetData>
    <row r="1" spans="1:8" ht="19.149999999999999" customHeight="1">
      <c r="A1" s="17" t="s">
        <v>136</v>
      </c>
      <c r="B1" s="18"/>
      <c r="C1" s="18"/>
      <c r="D1" s="18"/>
      <c r="E1" s="18"/>
      <c r="F1" s="18"/>
      <c r="G1" s="18"/>
      <c r="H1" s="18"/>
    </row>
    <row r="2" spans="1:8" ht="15" customHeight="1">
      <c r="A2" s="19" t="s">
        <v>137</v>
      </c>
      <c r="B2" s="18"/>
      <c r="C2" s="18"/>
      <c r="D2" s="18"/>
      <c r="E2" s="18"/>
      <c r="F2" s="18"/>
      <c r="G2" s="18"/>
      <c r="H2" s="18"/>
    </row>
    <row r="4" spans="1:8" ht="15" customHeight="1">
      <c r="A4" s="4" t="s">
        <v>60</v>
      </c>
      <c r="B4" s="4" t="s">
        <v>81</v>
      </c>
      <c r="C4" s="4" t="s">
        <v>138</v>
      </c>
      <c r="D4" s="4" t="s">
        <v>139</v>
      </c>
      <c r="E4" s="4" t="s">
        <v>140</v>
      </c>
      <c r="F4" s="4" t="s">
        <v>39</v>
      </c>
    </row>
    <row r="5" spans="1:8" ht="15" customHeight="1">
      <c r="A5" s="1" t="s">
        <v>97</v>
      </c>
      <c r="B5" s="1">
        <v>18</v>
      </c>
      <c r="C5" s="3">
        <f>Supuestos!$B$7</f>
        <v>18000</v>
      </c>
      <c r="D5" s="3">
        <f t="shared" ref="D5:D17" si="0">B5*C5</f>
        <v>324000</v>
      </c>
      <c r="E5" s="5">
        <f t="shared" ref="E5:E17" si="1">B5/SUM($B$5:$B$17)</f>
        <v>4.3902439024390241E-2</v>
      </c>
      <c r="F5" s="1" t="s">
        <v>100</v>
      </c>
    </row>
    <row r="6" spans="1:8" ht="15" customHeight="1">
      <c r="A6" s="1" t="s">
        <v>102</v>
      </c>
      <c r="B6" s="1">
        <v>38</v>
      </c>
      <c r="C6" s="3">
        <f>Supuestos!$B$7</f>
        <v>18000</v>
      </c>
      <c r="D6" s="3">
        <f t="shared" si="0"/>
        <v>684000</v>
      </c>
      <c r="E6" s="5">
        <f t="shared" si="1"/>
        <v>9.2682926829268292E-2</v>
      </c>
      <c r="F6" s="1" t="s">
        <v>104</v>
      </c>
    </row>
    <row r="7" spans="1:8" ht="15" customHeight="1">
      <c r="A7" s="1" t="s">
        <v>105</v>
      </c>
      <c r="B7" s="1">
        <v>34</v>
      </c>
      <c r="C7" s="3">
        <f>Supuestos!$B$7</f>
        <v>18000</v>
      </c>
      <c r="D7" s="3">
        <f t="shared" si="0"/>
        <v>612000</v>
      </c>
      <c r="E7" s="5">
        <f t="shared" si="1"/>
        <v>8.2926829268292687E-2</v>
      </c>
      <c r="F7" s="1" t="s">
        <v>107</v>
      </c>
    </row>
    <row r="8" spans="1:8" ht="15" customHeight="1">
      <c r="A8" s="1" t="s">
        <v>108</v>
      </c>
      <c r="B8" s="1">
        <v>34</v>
      </c>
      <c r="C8" s="3">
        <f>Supuestos!$B$7</f>
        <v>18000</v>
      </c>
      <c r="D8" s="3">
        <f t="shared" si="0"/>
        <v>612000</v>
      </c>
      <c r="E8" s="5">
        <f t="shared" si="1"/>
        <v>8.2926829268292687E-2</v>
      </c>
      <c r="F8" s="1" t="s">
        <v>109</v>
      </c>
    </row>
    <row r="9" spans="1:8" ht="15" customHeight="1">
      <c r="A9" s="1" t="s">
        <v>110</v>
      </c>
      <c r="B9" s="1">
        <v>54</v>
      </c>
      <c r="C9" s="3">
        <f>Supuestos!$B$7</f>
        <v>18000</v>
      </c>
      <c r="D9" s="3">
        <f t="shared" si="0"/>
        <v>972000</v>
      </c>
      <c r="E9" s="5">
        <f t="shared" si="1"/>
        <v>0.13170731707317074</v>
      </c>
      <c r="F9" s="1" t="s">
        <v>112</v>
      </c>
    </row>
    <row r="10" spans="1:8" ht="15" customHeight="1">
      <c r="A10" s="1" t="s">
        <v>113</v>
      </c>
      <c r="B10" s="1">
        <v>46</v>
      </c>
      <c r="C10" s="3">
        <f>Supuestos!$B$7</f>
        <v>18000</v>
      </c>
      <c r="D10" s="3">
        <f t="shared" si="0"/>
        <v>828000</v>
      </c>
      <c r="E10" s="5">
        <f t="shared" si="1"/>
        <v>0.11219512195121951</v>
      </c>
      <c r="F10" s="1" t="s">
        <v>115</v>
      </c>
    </row>
    <row r="11" spans="1:8" ht="15" customHeight="1">
      <c r="A11" s="1" t="s">
        <v>116</v>
      </c>
      <c r="B11" s="1">
        <v>38</v>
      </c>
      <c r="C11" s="3">
        <f>Supuestos!$B$7</f>
        <v>18000</v>
      </c>
      <c r="D11" s="3">
        <f t="shared" si="0"/>
        <v>684000</v>
      </c>
      <c r="E11" s="5">
        <f t="shared" si="1"/>
        <v>9.2682926829268292E-2</v>
      </c>
      <c r="F11" s="1" t="s">
        <v>118</v>
      </c>
    </row>
    <row r="12" spans="1:8" ht="15" customHeight="1">
      <c r="A12" s="1" t="s">
        <v>119</v>
      </c>
      <c r="B12" s="1">
        <v>36</v>
      </c>
      <c r="C12" s="3">
        <f>Supuestos!$B$7</f>
        <v>18000</v>
      </c>
      <c r="D12" s="3">
        <f t="shared" si="0"/>
        <v>648000</v>
      </c>
      <c r="E12" s="5">
        <f t="shared" si="1"/>
        <v>8.7804878048780483E-2</v>
      </c>
      <c r="F12" s="1" t="s">
        <v>120</v>
      </c>
    </row>
    <row r="13" spans="1:8" ht="15" customHeight="1">
      <c r="A13" s="1" t="s">
        <v>121</v>
      </c>
      <c r="B13" s="1">
        <v>30</v>
      </c>
      <c r="C13" s="3">
        <f>Supuestos!$B$7</f>
        <v>18000</v>
      </c>
      <c r="D13" s="3">
        <f t="shared" si="0"/>
        <v>540000</v>
      </c>
      <c r="E13" s="5">
        <f t="shared" si="1"/>
        <v>7.3170731707317069E-2</v>
      </c>
      <c r="F13" s="1" t="s">
        <v>123</v>
      </c>
    </row>
    <row r="14" spans="1:8" ht="15" customHeight="1">
      <c r="A14" s="1" t="s">
        <v>124</v>
      </c>
      <c r="B14" s="1">
        <v>22</v>
      </c>
      <c r="C14" s="3">
        <f>Supuestos!$B$7</f>
        <v>18000</v>
      </c>
      <c r="D14" s="3">
        <f t="shared" si="0"/>
        <v>396000</v>
      </c>
      <c r="E14" s="5">
        <f t="shared" si="1"/>
        <v>5.3658536585365853E-2</v>
      </c>
      <c r="F14" s="1" t="s">
        <v>125</v>
      </c>
    </row>
    <row r="15" spans="1:8" ht="15" customHeight="1">
      <c r="A15" s="1" t="s">
        <v>126</v>
      </c>
      <c r="B15" s="1">
        <v>18</v>
      </c>
      <c r="C15" s="3">
        <f>Supuestos!$B$7</f>
        <v>18000</v>
      </c>
      <c r="D15" s="3">
        <f t="shared" si="0"/>
        <v>324000</v>
      </c>
      <c r="E15" s="5">
        <f t="shared" si="1"/>
        <v>4.3902439024390241E-2</v>
      </c>
      <c r="F15" s="1" t="s">
        <v>128</v>
      </c>
    </row>
    <row r="16" spans="1:8" ht="15" customHeight="1">
      <c r="A16" s="1" t="s">
        <v>129</v>
      </c>
      <c r="B16" s="1">
        <v>22</v>
      </c>
      <c r="C16" s="3">
        <f>Supuestos!$B$7</f>
        <v>18000</v>
      </c>
      <c r="D16" s="3">
        <f t="shared" si="0"/>
        <v>396000</v>
      </c>
      <c r="E16" s="5">
        <f t="shared" si="1"/>
        <v>5.3658536585365853E-2</v>
      </c>
      <c r="F16" s="1" t="s">
        <v>132</v>
      </c>
    </row>
    <row r="17" spans="1:6" ht="15" customHeight="1">
      <c r="A17" s="1" t="s">
        <v>133</v>
      </c>
      <c r="B17" s="1">
        <v>20</v>
      </c>
      <c r="C17" s="3">
        <f>Supuestos!$B$7</f>
        <v>18000</v>
      </c>
      <c r="D17" s="3">
        <f t="shared" si="0"/>
        <v>360000</v>
      </c>
      <c r="E17" s="5">
        <f t="shared" si="1"/>
        <v>4.878048780487805E-2</v>
      </c>
      <c r="F17" s="1" t="s">
        <v>135</v>
      </c>
    </row>
    <row r="18" spans="1:6" ht="15" customHeight="1">
      <c r="A18" s="11" t="s">
        <v>141</v>
      </c>
      <c r="B18" s="11">
        <f>SUM(B5:B17)</f>
        <v>410</v>
      </c>
      <c r="C18" s="12"/>
      <c r="D18" s="12">
        <f>SUM(D5:D17)</f>
        <v>7380000</v>
      </c>
      <c r="E18" s="13">
        <f>SUM(E5:E17)</f>
        <v>1</v>
      </c>
      <c r="F18" s="11"/>
    </row>
  </sheetData>
  <mergeCells count="2">
    <mergeCell ref="A1:H1"/>
    <mergeCell ref="A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1"/>
  <sheetViews>
    <sheetView showGridLines="0" tabSelected="1" topLeftCell="A2" zoomScale="90" zoomScaleNormal="90" workbookViewId="0">
      <selection activeCell="I15" sqref="I15"/>
    </sheetView>
  </sheetViews>
  <sheetFormatPr baseColWidth="10" defaultColWidth="9" defaultRowHeight="14.25"/>
  <cols>
    <col min="1" max="1" width="33.75" customWidth="1"/>
    <col min="2" max="2" width="18.75" customWidth="1"/>
    <col min="3" max="3" width="12.5" customWidth="1"/>
    <col min="4" max="4" width="11.25" customWidth="1"/>
    <col min="5" max="5" width="16.25" customWidth="1"/>
    <col min="6" max="6" width="17.5" customWidth="1"/>
  </cols>
  <sheetData>
    <row r="1" spans="1:8" ht="19.149999999999999" customHeight="1">
      <c r="A1" s="17" t="s">
        <v>142</v>
      </c>
      <c r="B1" s="18"/>
      <c r="C1" s="18"/>
      <c r="D1" s="18"/>
      <c r="E1" s="18"/>
      <c r="F1" s="18"/>
      <c r="G1" s="18"/>
      <c r="H1" s="18"/>
    </row>
    <row r="2" spans="1:8" ht="15" customHeight="1">
      <c r="A2" s="19" t="s">
        <v>143</v>
      </c>
      <c r="B2" s="18"/>
      <c r="C2" s="18"/>
      <c r="D2" s="18"/>
      <c r="E2" s="18"/>
      <c r="F2" s="18"/>
      <c r="G2" s="18"/>
      <c r="H2" s="18"/>
    </row>
    <row r="4" spans="1:8" ht="15" customHeight="1">
      <c r="A4" s="4" t="s">
        <v>144</v>
      </c>
      <c r="B4" s="4" t="s">
        <v>145</v>
      </c>
      <c r="C4" s="4" t="s">
        <v>146</v>
      </c>
      <c r="D4" s="4" t="s">
        <v>147</v>
      </c>
      <c r="E4" s="4" t="s">
        <v>148</v>
      </c>
      <c r="F4" s="4" t="s">
        <v>149</v>
      </c>
    </row>
    <row r="5" spans="1:8" ht="15" customHeight="1">
      <c r="A5" s="1" t="s">
        <v>150</v>
      </c>
      <c r="B5" s="1" t="s">
        <v>151</v>
      </c>
      <c r="C5" s="1" t="s">
        <v>81</v>
      </c>
      <c r="D5" s="1">
        <v>280</v>
      </c>
      <c r="E5" s="3">
        <f>Supuestos!$B$7</f>
        <v>18000</v>
      </c>
      <c r="F5" s="3">
        <f t="shared" ref="F5:F16" si="0">D5*E5</f>
        <v>5040000</v>
      </c>
    </row>
    <row r="6" spans="1:8" ht="15" customHeight="1">
      <c r="A6" s="1" t="s">
        <v>152</v>
      </c>
      <c r="B6" s="1" t="s">
        <v>151</v>
      </c>
      <c r="C6" s="1" t="s">
        <v>81</v>
      </c>
      <c r="D6" s="1">
        <v>36</v>
      </c>
      <c r="E6" s="3">
        <f>Supuestos!$B$7</f>
        <v>18000</v>
      </c>
      <c r="F6" s="3">
        <f t="shared" si="0"/>
        <v>648000</v>
      </c>
    </row>
    <row r="7" spans="1:8" ht="15" customHeight="1">
      <c r="A7" s="1" t="s">
        <v>153</v>
      </c>
      <c r="B7" s="1" t="s">
        <v>151</v>
      </c>
      <c r="C7" s="1" t="s">
        <v>81</v>
      </c>
      <c r="D7" s="1">
        <v>42</v>
      </c>
      <c r="E7" s="3">
        <f>Supuestos!$B$7</f>
        <v>18000</v>
      </c>
      <c r="F7" s="3">
        <f t="shared" si="0"/>
        <v>756000</v>
      </c>
    </row>
    <row r="8" spans="1:8" ht="15" customHeight="1">
      <c r="A8" s="1" t="s">
        <v>154</v>
      </c>
      <c r="B8" s="1" t="s">
        <v>151</v>
      </c>
      <c r="C8" s="1" t="s">
        <v>81</v>
      </c>
      <c r="D8" s="1">
        <v>52</v>
      </c>
      <c r="E8" s="3">
        <f>Supuestos!$B$7</f>
        <v>18000</v>
      </c>
      <c r="F8" s="3">
        <f t="shared" si="0"/>
        <v>936000</v>
      </c>
    </row>
    <row r="9" spans="1:8" ht="15" customHeight="1">
      <c r="A9" s="1" t="s">
        <v>155</v>
      </c>
      <c r="B9" s="1" t="s">
        <v>156</v>
      </c>
      <c r="C9" s="1" t="s">
        <v>157</v>
      </c>
      <c r="D9" s="1">
        <v>1</v>
      </c>
      <c r="E9" s="3">
        <v>15000</v>
      </c>
      <c r="F9" s="3">
        <f t="shared" si="0"/>
        <v>15000</v>
      </c>
    </row>
    <row r="10" spans="1:8" ht="15" customHeight="1">
      <c r="A10" s="1" t="s">
        <v>158</v>
      </c>
      <c r="B10" s="1" t="s">
        <v>156</v>
      </c>
      <c r="C10" s="1" t="s">
        <v>159</v>
      </c>
      <c r="D10" s="1">
        <v>1</v>
      </c>
      <c r="E10" s="3">
        <v>0</v>
      </c>
      <c r="F10" s="3">
        <f t="shared" si="0"/>
        <v>0</v>
      </c>
    </row>
    <row r="11" spans="1:8" ht="15" customHeight="1">
      <c r="A11" s="1" t="s">
        <v>160</v>
      </c>
      <c r="B11" s="1" t="s">
        <v>156</v>
      </c>
      <c r="C11" s="1" t="s">
        <v>159</v>
      </c>
      <c r="D11" s="1">
        <v>1</v>
      </c>
      <c r="E11" s="3">
        <v>0</v>
      </c>
      <c r="F11" s="3">
        <f t="shared" si="0"/>
        <v>0</v>
      </c>
    </row>
    <row r="12" spans="1:8" ht="15" customHeight="1">
      <c r="A12" s="1" t="s">
        <v>161</v>
      </c>
      <c r="B12" s="1" t="s">
        <v>156</v>
      </c>
      <c r="C12" s="1" t="s">
        <v>159</v>
      </c>
      <c r="D12" s="1">
        <v>1</v>
      </c>
      <c r="E12" s="3">
        <v>0</v>
      </c>
      <c r="F12" s="3">
        <f t="shared" si="0"/>
        <v>0</v>
      </c>
    </row>
    <row r="13" spans="1:8" ht="15" customHeight="1">
      <c r="A13" s="1" t="s">
        <v>162</v>
      </c>
      <c r="B13" s="1" t="s">
        <v>163</v>
      </c>
      <c r="C13" s="1" t="s">
        <v>164</v>
      </c>
      <c r="D13" s="1">
        <v>1</v>
      </c>
      <c r="E13" s="3">
        <v>180000</v>
      </c>
      <c r="F13" s="3">
        <f t="shared" si="0"/>
        <v>180000</v>
      </c>
    </row>
    <row r="14" spans="1:8" ht="15" customHeight="1">
      <c r="A14" s="1" t="s">
        <v>165</v>
      </c>
      <c r="B14" s="1" t="s">
        <v>166</v>
      </c>
      <c r="C14" s="1" t="s">
        <v>167</v>
      </c>
      <c r="D14" s="1">
        <v>8</v>
      </c>
      <c r="E14" s="3">
        <v>35000</v>
      </c>
      <c r="F14" s="3">
        <f t="shared" si="0"/>
        <v>280000</v>
      </c>
    </row>
    <row r="15" spans="1:8" ht="15" customHeight="1">
      <c r="A15" s="1" t="s">
        <v>168</v>
      </c>
      <c r="B15" s="1" t="s">
        <v>156</v>
      </c>
      <c r="C15" s="1" t="s">
        <v>159</v>
      </c>
      <c r="D15" s="1">
        <v>8</v>
      </c>
      <c r="E15" s="3">
        <v>18000</v>
      </c>
      <c r="F15" s="3">
        <f t="shared" si="0"/>
        <v>144000</v>
      </c>
    </row>
    <row r="16" spans="1:8" ht="15" customHeight="1">
      <c r="A16" s="1" t="s">
        <v>169</v>
      </c>
      <c r="B16" s="1" t="s">
        <v>156</v>
      </c>
      <c r="C16" s="1" t="s">
        <v>159</v>
      </c>
      <c r="D16" s="1">
        <v>12</v>
      </c>
      <c r="E16" s="3">
        <v>12000</v>
      </c>
      <c r="F16" s="3">
        <f t="shared" si="0"/>
        <v>144000</v>
      </c>
    </row>
    <row r="17" spans="1:6" ht="15" customHeight="1">
      <c r="E17" s="15"/>
      <c r="F17" s="15"/>
    </row>
    <row r="18" spans="1:6" ht="15" customHeight="1">
      <c r="A18" s="14" t="s">
        <v>170</v>
      </c>
      <c r="B18" s="14"/>
      <c r="C18" s="14"/>
      <c r="D18" s="14"/>
      <c r="E18" s="16"/>
      <c r="F18" s="16"/>
    </row>
    <row r="19" spans="1:6" ht="15" customHeight="1">
      <c r="A19" s="14" t="s">
        <v>10</v>
      </c>
      <c r="B19" s="14"/>
      <c r="C19" s="14"/>
      <c r="D19" s="14"/>
      <c r="E19" s="16"/>
      <c r="F19" s="16">
        <f>SUM(F5:F8)</f>
        <v>7380000</v>
      </c>
    </row>
    <row r="20" spans="1:6" ht="15" customHeight="1">
      <c r="A20" s="14" t="s">
        <v>11</v>
      </c>
      <c r="B20" s="14"/>
      <c r="C20" s="14"/>
      <c r="D20" s="14"/>
      <c r="E20" s="16"/>
      <c r="F20" s="16">
        <f>SUM(F9:F13)</f>
        <v>195000</v>
      </c>
    </row>
    <row r="21" spans="1:6" ht="15" customHeight="1">
      <c r="A21" s="14" t="s">
        <v>12</v>
      </c>
      <c r="B21" s="14"/>
      <c r="C21" s="14"/>
      <c r="D21" s="14"/>
      <c r="E21" s="16"/>
      <c r="F21" s="16">
        <f>SUM(F14:F16)</f>
        <v>568000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2"/>
  <sheetViews>
    <sheetView showGridLines="0" workbookViewId="0"/>
  </sheetViews>
  <sheetFormatPr baseColWidth="10" defaultColWidth="9" defaultRowHeight="14.25"/>
  <cols>
    <col min="1" max="1" width="11.25" customWidth="1"/>
    <col min="2" max="2" width="12.5" customWidth="1"/>
    <col min="3" max="3" width="11.25" customWidth="1"/>
    <col min="4" max="4" width="10" customWidth="1"/>
    <col min="5" max="5" width="15" customWidth="1"/>
    <col min="6" max="9" width="16.25" customWidth="1"/>
    <col min="10" max="10" width="15" customWidth="1"/>
    <col min="11" max="11" width="16.25" customWidth="1"/>
  </cols>
  <sheetData>
    <row r="1" spans="1:14" ht="19.149999999999999" customHeight="1">
      <c r="A1" s="17" t="s">
        <v>171</v>
      </c>
      <c r="B1" s="18"/>
      <c r="C1" s="18"/>
      <c r="D1" s="18"/>
      <c r="E1" s="18"/>
      <c r="F1" s="18"/>
      <c r="G1" s="18"/>
      <c r="H1" s="18"/>
    </row>
    <row r="2" spans="1:14" ht="15" customHeight="1">
      <c r="A2" s="19" t="s">
        <v>172</v>
      </c>
      <c r="B2" s="18"/>
      <c r="C2" s="18"/>
      <c r="D2" s="18"/>
      <c r="E2" s="18"/>
      <c r="F2" s="18"/>
      <c r="G2" s="18"/>
      <c r="H2" s="18"/>
    </row>
    <row r="4" spans="1:14" ht="15" customHeight="1">
      <c r="A4" s="9" t="s">
        <v>173</v>
      </c>
      <c r="B4" s="9" t="s">
        <v>174</v>
      </c>
      <c r="C4" s="9" t="s">
        <v>175</v>
      </c>
      <c r="D4" s="9" t="s">
        <v>176</v>
      </c>
      <c r="E4" s="9" t="s">
        <v>177</v>
      </c>
      <c r="F4" s="9" t="s">
        <v>178</v>
      </c>
      <c r="G4" s="9" t="s">
        <v>179</v>
      </c>
      <c r="H4" s="9" t="s">
        <v>180</v>
      </c>
      <c r="I4" s="9" t="s">
        <v>181</v>
      </c>
      <c r="J4" s="9" t="s">
        <v>182</v>
      </c>
      <c r="K4" s="9" t="s">
        <v>183</v>
      </c>
      <c r="M4" t="s">
        <v>173</v>
      </c>
      <c r="N4" t="s">
        <v>183</v>
      </c>
    </row>
    <row r="5" spans="1:14" ht="15" customHeight="1">
      <c r="A5" s="1" t="s">
        <v>184</v>
      </c>
      <c r="B5" s="1">
        <v>12</v>
      </c>
      <c r="C5" s="5">
        <v>0.18</v>
      </c>
      <c r="D5" s="1">
        <f t="shared" ref="D5:D10" si="0">ROUND(B5*C5,0)</f>
        <v>2</v>
      </c>
      <c r="E5" s="3">
        <f>Supuestos!$B$14</f>
        <v>650000</v>
      </c>
      <c r="F5" s="3">
        <f t="shared" ref="F5:F10" si="1">D5*E5</f>
        <v>1300000</v>
      </c>
      <c r="G5" s="3">
        <f>F5*Supuestos!$B$11</f>
        <v>780000</v>
      </c>
      <c r="H5" s="3">
        <f>F5*Supuestos!$B$12</f>
        <v>520000</v>
      </c>
      <c r="I5" s="3">
        <f>F5*(1-Supuestos!$B$13)</f>
        <v>715000</v>
      </c>
      <c r="J5" s="3">
        <f>'Costos Proyecto'!$F$21</f>
        <v>568000</v>
      </c>
      <c r="K5" s="3">
        <f t="shared" ref="K5:K10" si="2">G5+H5-I5-J5</f>
        <v>17000</v>
      </c>
      <c r="M5" t="s">
        <v>184</v>
      </c>
      <c r="N5" s="15">
        <f t="shared" ref="N5:N10" si="3">K5</f>
        <v>17000</v>
      </c>
    </row>
    <row r="6" spans="1:14" ht="15" customHeight="1">
      <c r="A6" s="1" t="s">
        <v>185</v>
      </c>
      <c r="B6" s="1">
        <v>18</v>
      </c>
      <c r="C6" s="5">
        <v>0.28000000000000003</v>
      </c>
      <c r="D6" s="1">
        <f t="shared" si="0"/>
        <v>5</v>
      </c>
      <c r="E6" s="3">
        <f>Supuestos!$B$14</f>
        <v>650000</v>
      </c>
      <c r="F6" s="3">
        <f t="shared" si="1"/>
        <v>3250000</v>
      </c>
      <c r="G6" s="3">
        <f>F6*Supuestos!$B$11</f>
        <v>1950000</v>
      </c>
      <c r="H6" s="3">
        <f>F6*Supuestos!$B$12</f>
        <v>1300000</v>
      </c>
      <c r="I6" s="3">
        <f>F6*(1-Supuestos!$B$13)</f>
        <v>1787500.0000000002</v>
      </c>
      <c r="J6" s="3">
        <f>'Costos Proyecto'!$F$21</f>
        <v>568000</v>
      </c>
      <c r="K6" s="3">
        <f t="shared" si="2"/>
        <v>894499.99999999977</v>
      </c>
      <c r="M6" t="s">
        <v>185</v>
      </c>
      <c r="N6" s="15">
        <f t="shared" si="3"/>
        <v>894499.99999999977</v>
      </c>
    </row>
    <row r="7" spans="1:14" ht="15" customHeight="1">
      <c r="A7" s="1" t="s">
        <v>186</v>
      </c>
      <c r="B7" s="1">
        <v>24</v>
      </c>
      <c r="C7" s="5">
        <v>0.33</v>
      </c>
      <c r="D7" s="1">
        <f t="shared" si="0"/>
        <v>8</v>
      </c>
      <c r="E7" s="3">
        <f>Supuestos!$B$14</f>
        <v>650000</v>
      </c>
      <c r="F7" s="3">
        <f t="shared" si="1"/>
        <v>5200000</v>
      </c>
      <c r="G7" s="3">
        <f>F7*Supuestos!$B$11</f>
        <v>3120000</v>
      </c>
      <c r="H7" s="3">
        <f>F7*Supuestos!$B$12</f>
        <v>2080000</v>
      </c>
      <c r="I7" s="3">
        <f>F7*(1-Supuestos!$B$13)</f>
        <v>2860000</v>
      </c>
      <c r="J7" s="3">
        <f>'Costos Proyecto'!$F$21</f>
        <v>568000</v>
      </c>
      <c r="K7" s="3">
        <f t="shared" si="2"/>
        <v>1772000</v>
      </c>
      <c r="M7" t="s">
        <v>186</v>
      </c>
      <c r="N7" s="15">
        <f t="shared" si="3"/>
        <v>1772000</v>
      </c>
    </row>
    <row r="8" spans="1:14" ht="15" customHeight="1">
      <c r="A8" s="1" t="s">
        <v>187</v>
      </c>
      <c r="B8" s="1">
        <v>30</v>
      </c>
      <c r="C8" s="5">
        <v>0.36</v>
      </c>
      <c r="D8" s="1">
        <f t="shared" si="0"/>
        <v>11</v>
      </c>
      <c r="E8" s="3">
        <f>Supuestos!$B$14</f>
        <v>650000</v>
      </c>
      <c r="F8" s="3">
        <f t="shared" si="1"/>
        <v>7150000</v>
      </c>
      <c r="G8" s="3">
        <f>F8*Supuestos!$B$11</f>
        <v>4290000</v>
      </c>
      <c r="H8" s="3">
        <f>F8*Supuestos!$B$12</f>
        <v>2860000</v>
      </c>
      <c r="I8" s="3">
        <f>F8*(1-Supuestos!$B$13)</f>
        <v>3932500.0000000005</v>
      </c>
      <c r="J8" s="3">
        <f>'Costos Proyecto'!$F$21</f>
        <v>568000</v>
      </c>
      <c r="K8" s="3">
        <f t="shared" si="2"/>
        <v>2649499.9999999995</v>
      </c>
      <c r="M8" t="s">
        <v>187</v>
      </c>
      <c r="N8" s="15">
        <f t="shared" si="3"/>
        <v>2649499.9999999995</v>
      </c>
    </row>
    <row r="9" spans="1:14" ht="15" customHeight="1">
      <c r="A9" s="1" t="s">
        <v>188</v>
      </c>
      <c r="B9" s="1">
        <v>36</v>
      </c>
      <c r="C9" s="5">
        <v>0.38</v>
      </c>
      <c r="D9" s="1">
        <f t="shared" si="0"/>
        <v>14</v>
      </c>
      <c r="E9" s="3">
        <f>Supuestos!$B$14</f>
        <v>650000</v>
      </c>
      <c r="F9" s="3">
        <f t="shared" si="1"/>
        <v>9100000</v>
      </c>
      <c r="G9" s="3">
        <f>F9*Supuestos!$B$11</f>
        <v>5460000</v>
      </c>
      <c r="H9" s="3">
        <f>F9*Supuestos!$B$12</f>
        <v>3640000</v>
      </c>
      <c r="I9" s="3">
        <f>F9*(1-Supuestos!$B$13)</f>
        <v>5005000</v>
      </c>
      <c r="J9" s="3">
        <f>'Costos Proyecto'!$F$21</f>
        <v>568000</v>
      </c>
      <c r="K9" s="3">
        <f t="shared" si="2"/>
        <v>3527000</v>
      </c>
      <c r="M9" t="s">
        <v>188</v>
      </c>
      <c r="N9" s="15">
        <f t="shared" si="3"/>
        <v>3527000</v>
      </c>
    </row>
    <row r="10" spans="1:14" ht="15" customHeight="1">
      <c r="A10" s="1" t="s">
        <v>189</v>
      </c>
      <c r="B10" s="1">
        <v>42</v>
      </c>
      <c r="C10" s="5">
        <v>0.4</v>
      </c>
      <c r="D10" s="1">
        <f t="shared" si="0"/>
        <v>17</v>
      </c>
      <c r="E10" s="3">
        <f>Supuestos!$B$14</f>
        <v>650000</v>
      </c>
      <c r="F10" s="3">
        <f t="shared" si="1"/>
        <v>11050000</v>
      </c>
      <c r="G10" s="3">
        <f>F10*Supuestos!$B$11</f>
        <v>6630000</v>
      </c>
      <c r="H10" s="3">
        <f>F10*Supuestos!$B$12</f>
        <v>4420000</v>
      </c>
      <c r="I10" s="3">
        <f>F10*(1-Supuestos!$B$13)</f>
        <v>6077500.0000000009</v>
      </c>
      <c r="J10" s="3">
        <f>'Costos Proyecto'!$F$21</f>
        <v>568000</v>
      </c>
      <c r="K10" s="3">
        <f t="shared" si="2"/>
        <v>4404499.9999999991</v>
      </c>
      <c r="M10" t="s">
        <v>189</v>
      </c>
      <c r="N10" s="15">
        <f t="shared" si="3"/>
        <v>4404499.9999999991</v>
      </c>
    </row>
    <row r="11" spans="1:14" ht="15" customHeight="1">
      <c r="A11" s="1"/>
      <c r="B11" s="1"/>
      <c r="C11" s="5"/>
      <c r="D11" s="1"/>
      <c r="E11" s="3"/>
      <c r="F11" s="3"/>
      <c r="G11" s="3"/>
      <c r="H11" s="3"/>
      <c r="I11" s="3"/>
      <c r="J11" s="3"/>
      <c r="K11" s="3"/>
    </row>
    <row r="12" spans="1:14" ht="15" customHeight="1">
      <c r="A12" s="11" t="s">
        <v>190</v>
      </c>
      <c r="B12" s="11">
        <f>SUM(B5:B10)</f>
        <v>162</v>
      </c>
      <c r="C12" s="13">
        <f>AVERAGE(C5:C10)</f>
        <v>0.3216666666666666</v>
      </c>
      <c r="D12" s="11">
        <f>SUM(D5:D10)</f>
        <v>57</v>
      </c>
      <c r="E12" s="12">
        <f>AVERAGE(E5:E10)</f>
        <v>650000</v>
      </c>
      <c r="F12" s="12">
        <f t="shared" ref="F12:K12" si="4">SUM(F5:F10)</f>
        <v>37050000</v>
      </c>
      <c r="G12" s="12">
        <f t="shared" si="4"/>
        <v>22230000</v>
      </c>
      <c r="H12" s="12">
        <f t="shared" si="4"/>
        <v>14820000</v>
      </c>
      <c r="I12" s="12">
        <f t="shared" si="4"/>
        <v>20377500</v>
      </c>
      <c r="J12" s="12">
        <f t="shared" si="4"/>
        <v>3408000</v>
      </c>
      <c r="K12" s="12">
        <f t="shared" si="4"/>
        <v>13264500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8"/>
  <sheetViews>
    <sheetView showGridLines="0" workbookViewId="0"/>
  </sheetViews>
  <sheetFormatPr baseColWidth="10" defaultColWidth="9" defaultRowHeight="14.25"/>
  <cols>
    <col min="1" max="1" width="28.75" customWidth="1"/>
    <col min="2" max="2" width="13.75" customWidth="1"/>
    <col min="3" max="3" width="95" customWidth="1"/>
  </cols>
  <sheetData>
    <row r="1" spans="1:8" ht="19.149999999999999" customHeight="1">
      <c r="A1" s="17" t="s">
        <v>191</v>
      </c>
      <c r="B1" s="18"/>
      <c r="C1" s="18"/>
      <c r="D1" s="18"/>
      <c r="E1" s="18"/>
      <c r="F1" s="18"/>
      <c r="G1" s="18"/>
      <c r="H1" s="18"/>
    </row>
    <row r="2" spans="1:8" ht="15" customHeight="1">
      <c r="A2" s="19" t="s">
        <v>192</v>
      </c>
      <c r="B2" s="18"/>
      <c r="C2" s="18"/>
      <c r="D2" s="18"/>
      <c r="E2" s="18"/>
      <c r="F2" s="18"/>
      <c r="G2" s="18"/>
      <c r="H2" s="18"/>
    </row>
    <row r="4" spans="1:8" ht="15" customHeight="1">
      <c r="A4" s="6" t="s">
        <v>193</v>
      </c>
      <c r="B4" s="6" t="s">
        <v>82</v>
      </c>
      <c r="C4" s="6" t="s">
        <v>194</v>
      </c>
    </row>
    <row r="5" spans="1:8" ht="15" customHeight="1">
      <c r="A5" s="1" t="s">
        <v>195</v>
      </c>
      <c r="B5" s="1" t="s">
        <v>196</v>
      </c>
      <c r="C5" s="7" t="s">
        <v>197</v>
      </c>
    </row>
    <row r="6" spans="1:8" ht="15" customHeight="1">
      <c r="A6" s="1" t="s">
        <v>198</v>
      </c>
      <c r="B6" s="1" t="s">
        <v>196</v>
      </c>
      <c r="C6" s="7" t="s">
        <v>199</v>
      </c>
    </row>
    <row r="7" spans="1:8" ht="15" customHeight="1">
      <c r="A7" s="1" t="s">
        <v>200</v>
      </c>
      <c r="B7" s="1" t="s">
        <v>196</v>
      </c>
      <c r="C7" s="7" t="s">
        <v>201</v>
      </c>
    </row>
    <row r="8" spans="1:8" ht="15" customHeight="1">
      <c r="A8" s="1" t="s">
        <v>202</v>
      </c>
      <c r="B8" s="1" t="s">
        <v>196</v>
      </c>
      <c r="C8" s="7" t="s">
        <v>203</v>
      </c>
    </row>
    <row r="9" spans="1:8" ht="15" customHeight="1">
      <c r="A9" s="1" t="s">
        <v>204</v>
      </c>
      <c r="B9" s="1" t="s">
        <v>196</v>
      </c>
      <c r="C9" s="7" t="s">
        <v>205</v>
      </c>
    </row>
    <row r="10" spans="1:8" ht="15" customHeight="1">
      <c r="A10" s="1" t="s">
        <v>206</v>
      </c>
      <c r="B10" s="1" t="s">
        <v>196</v>
      </c>
      <c r="C10" s="7" t="s">
        <v>207</v>
      </c>
    </row>
    <row r="11" spans="1:8" ht="15" customHeight="1">
      <c r="A11" s="1" t="s">
        <v>208</v>
      </c>
      <c r="B11" s="1" t="s">
        <v>196</v>
      </c>
      <c r="C11" s="7" t="s">
        <v>209</v>
      </c>
    </row>
    <row r="12" spans="1:8" ht="15" customHeight="1">
      <c r="A12" s="1" t="s">
        <v>210</v>
      </c>
      <c r="B12" s="1" t="s">
        <v>196</v>
      </c>
      <c r="C12" s="7" t="s">
        <v>211</v>
      </c>
    </row>
    <row r="13" spans="1:8" ht="15" customHeight="1">
      <c r="A13" s="1" t="s">
        <v>212</v>
      </c>
      <c r="B13" s="1" t="s">
        <v>196</v>
      </c>
      <c r="C13" s="7" t="s">
        <v>213</v>
      </c>
    </row>
    <row r="14" spans="1:8" ht="15" customHeight="1">
      <c r="A14" s="1" t="s">
        <v>214</v>
      </c>
      <c r="B14" s="1" t="s">
        <v>196</v>
      </c>
      <c r="C14" s="7" t="s">
        <v>215</v>
      </c>
    </row>
    <row r="15" spans="1:8" ht="15" customHeight="1">
      <c r="A15" s="1" t="s">
        <v>216</v>
      </c>
      <c r="B15" s="1" t="s">
        <v>196</v>
      </c>
      <c r="C15" s="7" t="s">
        <v>217</v>
      </c>
    </row>
    <row r="16" spans="1:8" ht="15" customHeight="1">
      <c r="A16" s="1" t="s">
        <v>218</v>
      </c>
      <c r="B16" s="1" t="s">
        <v>131</v>
      </c>
      <c r="C16" s="7" t="s">
        <v>219</v>
      </c>
    </row>
    <row r="17" spans="1:3" ht="15" customHeight="1">
      <c r="A17" s="1" t="s">
        <v>220</v>
      </c>
      <c r="B17" s="1" t="s">
        <v>131</v>
      </c>
      <c r="C17" s="7" t="s">
        <v>221</v>
      </c>
    </row>
    <row r="18" spans="1:3" ht="15" customHeight="1">
      <c r="A18" s="1" t="s">
        <v>222</v>
      </c>
      <c r="B18" s="1" t="s">
        <v>131</v>
      </c>
      <c r="C18" s="7" t="s">
        <v>223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Supuestos</vt:lpstr>
      <vt:lpstr>Modelo Canvas</vt:lpstr>
      <vt:lpstr>PDCA</vt:lpstr>
      <vt:lpstr>Carta Gantt</vt:lpstr>
      <vt:lpstr>Horas Programador</vt:lpstr>
      <vt:lpstr>Costos Proyecto</vt:lpstr>
      <vt:lpstr>Flujo Caja</vt:lpstr>
      <vt:lpstr>Alcance y Entregables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Orlando Díaz Sandoval</cp:lastModifiedBy>
  <dcterms:modified xsi:type="dcterms:W3CDTF">2026-06-19T17:51:47Z</dcterms:modified>
</cp:coreProperties>
</file>